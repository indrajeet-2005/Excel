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ML_PYTHON\Advance Excel\"/>
    </mc:Choice>
  </mc:AlternateContent>
  <xr:revisionPtr revIDLastSave="0" documentId="13_ncr:1_{46A8C597-B24C-4BE8-B6B1-D9AFC20BA658}" xr6:coauthVersionLast="47" xr6:coauthVersionMax="47" xr10:uidLastSave="{00000000-0000-0000-0000-000000000000}"/>
  <bookViews>
    <workbookView xWindow="-108" yWindow="-108" windowWidth="23256" windowHeight="13896" xr2:uid="{436AA7D1-2B24-4D0B-A42C-FCE6719BF0F0}"/>
  </bookViews>
  <sheets>
    <sheet name="Students Grade" sheetId="2" r:id="rId1"/>
    <sheet name="Sales Data" sheetId="3" r:id="rId2"/>
    <sheet name="Employee Dat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3" l="1"/>
  <c r="F28" i="3"/>
  <c r="F25" i="3"/>
  <c r="I34" i="3"/>
  <c r="I30" i="3"/>
  <c r="I27" i="3"/>
  <c r="G9" i="4"/>
  <c r="I23" i="3"/>
  <c r="I18" i="3" a="1"/>
  <c r="I18" i="3" s="1"/>
  <c r="H2" i="3"/>
  <c r="H3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4" i="3"/>
  <c r="L23" i="2"/>
  <c r="L22" i="2"/>
  <c r="L18" i="2"/>
  <c r="G5" i="4" a="1"/>
  <c r="G5" i="4" s="1"/>
  <c r="I12" i="3"/>
  <c r="L14" i="2"/>
  <c r="L9" i="2"/>
  <c r="I8" i="3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G3" i="3" a="1"/>
  <c r="G3" i="3"/>
  <c r="G4" i="3" a="1"/>
  <c r="G4" i="3"/>
  <c r="G5" i="3" a="1"/>
  <c r="G5" i="3"/>
  <c r="G6" i="3" a="1"/>
  <c r="G6" i="3"/>
  <c r="G7" i="3" a="1"/>
  <c r="G7" i="3"/>
  <c r="G8" i="3" a="1"/>
  <c r="G8" i="3"/>
  <c r="G9" i="3" a="1"/>
  <c r="G9" i="3"/>
  <c r="G10" i="3" a="1"/>
  <c r="G10" i="3"/>
  <c r="G11" i="3" a="1"/>
  <c r="G11" i="3"/>
  <c r="G12" i="3" a="1"/>
  <c r="G12" i="3"/>
  <c r="G13" i="3" a="1"/>
  <c r="G13" i="3"/>
  <c r="G14" i="3" a="1"/>
  <c r="G14" i="3"/>
  <c r="G15" i="3" a="1"/>
  <c r="G15" i="3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/>
  <c r="G2" i="3" a="1"/>
  <c r="G2" i="3"/>
  <c r="H9" i="2"/>
  <c r="I3" i="2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 s="1"/>
  <c r="I10" i="2" a="1"/>
  <c r="I10" i="2" s="1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 s="1"/>
  <c r="I19" i="2" a="1"/>
  <c r="I19" i="2"/>
  <c r="I20" i="2" a="1"/>
  <c r="I20" i="2"/>
  <c r="I21" i="2" a="1"/>
  <c r="I21" i="2"/>
  <c r="I2" i="2" a="1"/>
  <c r="I2" i="2"/>
  <c r="H2" i="2"/>
  <c r="H3" i="2"/>
  <c r="H4" i="2"/>
  <c r="H5" i="2"/>
  <c r="H6" i="2"/>
  <c r="H7" i="2"/>
  <c r="H8" i="2"/>
  <c r="H10" i="2"/>
  <c r="H11" i="2"/>
  <c r="H12" i="2"/>
  <c r="H13" i="2"/>
  <c r="H14" i="2"/>
  <c r="H15" i="2"/>
  <c r="H16" i="2"/>
  <c r="H17" i="2"/>
  <c r="H18" i="2"/>
  <c r="H19" i="2"/>
  <c r="H20" i="2"/>
  <c r="H2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<sst xmlns="http://schemas.openxmlformats.org/spreadsheetml/2006/main" count="166" uniqueCount="113">
  <si>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</si>
  <si>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</si>
  <si>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</si>
  <si>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</si>
  <si>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</si>
  <si>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</si>
  <si>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</si>
  <si>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</si>
  <si>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</si>
  <si>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</si>
  <si>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</si>
  <si>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</si>
  <si>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</si>
  <si>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</si>
  <si>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</si>
  <si>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</si>
  <si>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</si>
  <si>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</si>
  <si>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</si>
  <si>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</si>
  <si>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</si>
  <si>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</si>
  <si>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</si>
  <si>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</si>
  <si>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</si>
  <si>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</si>
  <si>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</si>
  <si>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</si>
  <si>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</si>
  <si>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</si>
  <si>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</si>
  <si>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</si>
  <si>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</si>
  <si>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</si>
  <si>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</si>
  <si>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</si>
  <si>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</si>
  <si>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</si>
  <si>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</si>
  <si>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</si>
  <si>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</si>
  <si>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</si>
  <si>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</si>
  <si>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</si>
  <si>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</si>
  <si>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</si>
  <si>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</si>
  <si>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</si>
  <si>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</si>
  <si>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</si>
  <si>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</si>
  <si>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</si>
  <si>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</si>
  <si>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</si>
  <si>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</si>
  <si>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</si>
  <si>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</si>
  <si>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</si>
  <si>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</si>
  <si>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</si>
  <si>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</si>
  <si>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</si>
  <si>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</si>
  <si>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</si>
  <si>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</si>
  <si>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</si>
  <si>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</si>
  <si>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</si>
  <si>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</si>
  <si>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</si>
  <si>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</si>
  <si>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</si>
  <si>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</si>
  <si>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</si>
  <si>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</si>
  <si>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</si>
  <si>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</si>
  <si>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</si>
  <si>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</si>
  <si>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</si>
  <si>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</si>
  <si>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</si>
  <si>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</si>
  <si>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</si>
  <si>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</si>
  <si>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</si>
  <si>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</si>
  <si>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</si>
  <si>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</si>
  <si>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 xml:space="preserve"> </t>
  </si>
  <si>
    <t xml:space="preserve">Total Marks </t>
  </si>
  <si>
    <t>Percentage</t>
  </si>
  <si>
    <t>Grades</t>
  </si>
  <si>
    <t>Discount</t>
  </si>
  <si>
    <t>Top Students</t>
  </si>
  <si>
    <t>Average</t>
  </si>
  <si>
    <t>Students Above 50 in Math</t>
  </si>
  <si>
    <t>Sum total sales for a specific region and product.</t>
  </si>
  <si>
    <t>average score for students who scored above 60.</t>
  </si>
  <si>
    <t>Fetch student names based on ID from a separate dataset.</t>
  </si>
  <si>
    <t>Retrieve product prices based on product codes.</t>
  </si>
  <si>
    <t>Look up employee details dynamically without column restrictions.</t>
  </si>
  <si>
    <t>Extract the first name from full names using LEFT and FIND.</t>
  </si>
  <si>
    <t>Convert names to uppercase/lowercase using UPPER(), LOWER().</t>
  </si>
  <si>
    <t>Discount Eligible</t>
  </si>
  <si>
    <t>Search for salesperson performance based on flexible search criteria.</t>
  </si>
  <si>
    <t>Find employee salaries without worrying about sorted data.</t>
  </si>
  <si>
    <t>Find the position of a product in a sales list.</t>
  </si>
  <si>
    <t>Calculate age from date of birth.</t>
  </si>
  <si>
    <t>Find the difference in days between two dates.</t>
  </si>
  <si>
    <t>Round()</t>
  </si>
  <si>
    <t>ceiling()</t>
  </si>
  <si>
    <t>flooor()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</si>
</sst>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C64B-7B9D-4083-99EA-BAA892F7780E}">
  <dimension ref="A1:L23"/>
  <sheetViews>
    <sheetView tabSelected="1" zoomScale="85" zoomScaleNormal="130" workbookViewId="0">
      <selection activeCell="L6" sqref="L6"/>
    </sheetView>
  </sheetViews>
  <sheetFormatPr defaultRowHeight="14.4" x14ac:dyDescent="0.3"/>
  <cols>
    <col min="1" max="1" width="13.5546875" style="9" customWidth="1"/>
    <col min="2" max="2" width="13.44140625" style="9" customWidth="1"/>
    <col min="3" max="3" width="12" style="9" customWidth="1"/>
    <col min="4" max="4" width="13" style="9" customWidth="1"/>
    <col min="5" max="5" width="13.6640625" style="9" customWidth="1"/>
    <col min="6" max="6" width="23.44140625" style="9" customWidth="1"/>
    <col min="7" max="7" width="13.109375" style="9" customWidth="1"/>
    <col min="8" max="8" width="13.5546875" style="9" customWidth="1"/>
    <col min="9" max="9" width="8.88671875" style="9"/>
    <col min="10" max="10" width="16.109375" style="9" customWidth="1"/>
    <col min="11" max="11" width="8.88671875" style="9"/>
    <col min="12" max="12" width="68.88671875" style="9" customWidth="1"/>
    <col min="13" max="16384" width="8.88671875" style="9"/>
  </cols>
  <sheetData>
    <row r="1" spans="1:12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90</v>
      </c>
      <c r="H1" s="7" t="s">
        <v>91</v>
      </c>
      <c r="I1" s="7" t="s">
        <v>92</v>
      </c>
      <c r="J1" s="7" t="s">
        <v>94</v>
      </c>
      <c r="K1" s="9" t="s">
        <v>95</v>
      </c>
      <c r="L1" s="11" t="s">
        <v>96</v>
      </c>
    </row>
    <row r="2" spans="1:12" ht="15" thickBot="1" x14ac:dyDescent="0.35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5">
        <v>43101</v>
      </c>
      <c r="G2" s="10">
        <f>SUM(C2:E2)</f>
        <v>185</v>
      </c>
      <c r="H2" s="8">
        <f>G2/300*100</f>
        <v>61.666666666666671</v>
      </c>
      <c r="I2" s="9" t="str" cm="1">
        <f t="array" ref="I2">_xlfn.IFS(H2&gt;=80,"A",H2&gt;=60,"B",H2&gt;=40,"C",H2&lt;40,"D")</f>
        <v>B</v>
      </c>
      <c r="J2" s="9" t="str">
        <f>IF(AND(C2&gt;80,D2&gt;80),"Yes","No")</f>
        <v>No</v>
      </c>
      <c r="K2" s="8">
        <f>AVERAGE(C2:E2)</f>
        <v>61.666666666666664</v>
      </c>
      <c r="L2" s="9">
        <f>COUNTIFS(C:C,"&gt;50")</f>
        <v>19</v>
      </c>
    </row>
    <row r="3" spans="1:12" ht="15" thickBot="1" x14ac:dyDescent="0.35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5">
        <v>43281</v>
      </c>
      <c r="G3" s="10">
        <f t="shared" ref="G3:G21" si="0">SUM(C3:E3)</f>
        <v>224</v>
      </c>
      <c r="H3" s="8">
        <f t="shared" ref="H3:H21" si="1">G3/300*100</f>
        <v>74.666666666666671</v>
      </c>
      <c r="I3" s="9" t="str" cm="1">
        <f t="array" ref="I3">_xlfn.IFS(H3&gt;=80,"A",H3&gt;=60,"B",H3&gt;=40,"C",H3&lt;40,"D")</f>
        <v>B</v>
      </c>
      <c r="J3" s="9" t="str">
        <f t="shared" ref="J3:J21" si="2">IF(AND(C3&gt;80,D3&gt;80),"Yes","No")</f>
        <v>No</v>
      </c>
      <c r="K3" s="8">
        <f t="shared" ref="K3:K21" si="3">AVERAGE(C3:E3)</f>
        <v>74.666666666666671</v>
      </c>
    </row>
    <row r="4" spans="1:12" ht="15" thickBot="1" x14ac:dyDescent="0.35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5">
        <v>43461</v>
      </c>
      <c r="G4" s="10">
        <f t="shared" si="0"/>
        <v>208</v>
      </c>
      <c r="H4" s="8">
        <f t="shared" si="1"/>
        <v>69.333333333333343</v>
      </c>
      <c r="I4" s="9" t="str" cm="1">
        <f t="array" ref="I4">_xlfn.IFS(H4&gt;=80,"A",H4&gt;=60,"B",H4&gt;=40,"C",H4&lt;40,"D")</f>
        <v>B</v>
      </c>
      <c r="J4" s="9" t="str">
        <f t="shared" si="2"/>
        <v>No</v>
      </c>
      <c r="K4" s="8">
        <f t="shared" si="3"/>
        <v>69.333333333333329</v>
      </c>
    </row>
    <row r="5" spans="1:12" ht="15" thickBot="1" x14ac:dyDescent="0.35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5">
        <v>43641</v>
      </c>
      <c r="G5" s="10">
        <f t="shared" si="0"/>
        <v>175</v>
      </c>
      <c r="H5" s="8">
        <f t="shared" si="1"/>
        <v>58.333333333333336</v>
      </c>
      <c r="I5" s="9" t="str" cm="1">
        <f t="array" ref="I5">_xlfn.IFS(H5&gt;=80,"A",H5&gt;=60,"B",H5&gt;=40,"C",H5&lt;40,"D")</f>
        <v>C</v>
      </c>
      <c r="J5" s="9" t="str">
        <f t="shared" si="2"/>
        <v>No</v>
      </c>
      <c r="K5" s="8">
        <f t="shared" si="3"/>
        <v>58.333333333333336</v>
      </c>
    </row>
    <row r="6" spans="1:12" ht="15" thickBot="1" x14ac:dyDescent="0.35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5">
        <v>43821</v>
      </c>
      <c r="G6" s="10">
        <f t="shared" si="0"/>
        <v>226</v>
      </c>
      <c r="H6" s="8">
        <f t="shared" si="1"/>
        <v>75.333333333333329</v>
      </c>
      <c r="I6" s="9" t="str" cm="1">
        <f t="array" ref="I6">_xlfn.IFS(H6&gt;=80,"A",H6&gt;=60,"B",H6&gt;=40,"C",H6&lt;40,"D")</f>
        <v>B</v>
      </c>
      <c r="J6" s="9" t="str">
        <f t="shared" si="2"/>
        <v>No</v>
      </c>
      <c r="K6" s="8">
        <f t="shared" si="3"/>
        <v>75.333333333333329</v>
      </c>
    </row>
    <row r="7" spans="1:12" ht="15" thickBot="1" x14ac:dyDescent="0.35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5">
        <v>44001</v>
      </c>
      <c r="G7" s="10">
        <f t="shared" si="0"/>
        <v>215</v>
      </c>
      <c r="H7" s="8">
        <f t="shared" si="1"/>
        <v>71.666666666666671</v>
      </c>
      <c r="I7" s="9" t="str" cm="1">
        <f t="array" ref="I7">_xlfn.IFS(H7&gt;=80,"A",H7&gt;=60,"B",H7&gt;=40,"C",H7&lt;40,"D")</f>
        <v>B</v>
      </c>
      <c r="J7" s="9" t="str">
        <f t="shared" si="2"/>
        <v>No</v>
      </c>
      <c r="K7" s="8">
        <f t="shared" si="3"/>
        <v>71.666666666666671</v>
      </c>
    </row>
    <row r="8" spans="1:12" ht="15" thickBot="1" x14ac:dyDescent="0.35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5">
        <v>44181</v>
      </c>
      <c r="G8" s="10">
        <f t="shared" si="0"/>
        <v>200</v>
      </c>
      <c r="H8" s="8">
        <f t="shared" si="1"/>
        <v>66.666666666666657</v>
      </c>
      <c r="I8" s="9" t="str" cm="1">
        <f t="array" ref="I8">_xlfn.IFS(H8&gt;=80,"A",H8&gt;=60,"B",H8&gt;=40,"C",H8&lt;40,"D")</f>
        <v>B</v>
      </c>
      <c r="J8" s="9" t="str">
        <f t="shared" si="2"/>
        <v>No</v>
      </c>
      <c r="K8" s="8">
        <f t="shared" si="3"/>
        <v>66.666666666666671</v>
      </c>
      <c r="L8" s="11" t="s">
        <v>98</v>
      </c>
    </row>
    <row r="9" spans="1:12" ht="15" thickBot="1" x14ac:dyDescent="0.35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5">
        <v>44361</v>
      </c>
      <c r="G9" s="10">
        <f t="shared" si="0"/>
        <v>225</v>
      </c>
      <c r="H9" s="8">
        <f t="shared" si="1"/>
        <v>75</v>
      </c>
      <c r="I9" s="9" t="str" cm="1">
        <f t="array" ref="I9">_xlfn.IFS(H9&gt;=80,"A",H9&gt;=60,"B",H9&gt;=40,"C",H9&lt;40,"D")</f>
        <v>B</v>
      </c>
      <c r="J9" s="9" t="str">
        <f t="shared" si="2"/>
        <v>No</v>
      </c>
      <c r="K9" s="8">
        <f t="shared" si="3"/>
        <v>75</v>
      </c>
      <c r="L9" s="8">
        <f>AVERAGEIF(H2:H21,"&gt;60")</f>
        <v>73.625000000000014</v>
      </c>
    </row>
    <row r="10" spans="1:12" ht="15" thickBot="1" x14ac:dyDescent="0.35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5">
        <v>44541</v>
      </c>
      <c r="G10" s="10">
        <f t="shared" si="0"/>
        <v>172</v>
      </c>
      <c r="H10" s="8">
        <f t="shared" si="1"/>
        <v>57.333333333333336</v>
      </c>
      <c r="I10" s="9" t="str" cm="1">
        <f t="array" ref="I10">_xlfn.IFS(H10&gt;=80,"A",H10&gt;=60,"B",H10&gt;=40,"C",H10&lt;40,"D")</f>
        <v>C</v>
      </c>
      <c r="J10" s="9" t="str">
        <f t="shared" si="2"/>
        <v>No</v>
      </c>
      <c r="K10" s="8">
        <f t="shared" si="3"/>
        <v>57.333333333333336</v>
      </c>
    </row>
    <row r="11" spans="1:12" ht="15" thickBot="1" x14ac:dyDescent="0.35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5">
        <v>44721</v>
      </c>
      <c r="G11" s="10">
        <f t="shared" si="0"/>
        <v>210</v>
      </c>
      <c r="H11" s="8">
        <f t="shared" si="1"/>
        <v>70</v>
      </c>
      <c r="I11" s="9" t="str" cm="1">
        <f t="array" ref="I11">_xlfn.IFS(H11&gt;=80,"A",H11&gt;=60,"B",H11&gt;=40,"C",H11&lt;40,"D")</f>
        <v>B</v>
      </c>
      <c r="J11" s="9" t="str">
        <f t="shared" si="2"/>
        <v>No</v>
      </c>
      <c r="K11" s="8">
        <f t="shared" si="3"/>
        <v>70</v>
      </c>
    </row>
    <row r="12" spans="1:12" ht="15" thickBot="1" x14ac:dyDescent="0.35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5">
        <v>44901</v>
      </c>
      <c r="G12" s="10">
        <f t="shared" si="0"/>
        <v>205</v>
      </c>
      <c r="H12" s="8">
        <f t="shared" si="1"/>
        <v>68.333333333333329</v>
      </c>
      <c r="I12" s="9" t="str" cm="1">
        <f t="array" ref="I12">_xlfn.IFS(H12&gt;=80,"A",H12&gt;=60,"B",H12&gt;=40,"C",H12&lt;40,"D")</f>
        <v>B</v>
      </c>
      <c r="J12" s="9" t="str">
        <f t="shared" si="2"/>
        <v>No</v>
      </c>
      <c r="K12" s="8">
        <f t="shared" si="3"/>
        <v>68.333333333333329</v>
      </c>
      <c r="L12" s="11" t="s">
        <v>99</v>
      </c>
    </row>
    <row r="13" spans="1:12" ht="15" thickBot="1" x14ac:dyDescent="0.35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5">
        <v>45081</v>
      </c>
      <c r="G13" s="10">
        <f t="shared" si="0"/>
        <v>253</v>
      </c>
      <c r="H13" s="8">
        <f t="shared" si="1"/>
        <v>84.333333333333343</v>
      </c>
      <c r="I13" s="9" t="str" cm="1">
        <f t="array" ref="I13">_xlfn.IFS(H13&gt;=80,"A",H13&gt;=60,"B",H13&gt;=40,"C",H13&lt;40,"D")</f>
        <v>A</v>
      </c>
      <c r="J13" s="9" t="str">
        <f t="shared" si="2"/>
        <v>Yes</v>
      </c>
      <c r="K13" s="8">
        <f t="shared" si="3"/>
        <v>84.333333333333329</v>
      </c>
      <c r="L13" s="9">
        <v>1002</v>
      </c>
    </row>
    <row r="14" spans="1:12" ht="15" thickBot="1" x14ac:dyDescent="0.35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5">
        <v>45261</v>
      </c>
      <c r="G14" s="10">
        <f t="shared" si="0"/>
        <v>285</v>
      </c>
      <c r="H14" s="8">
        <f t="shared" si="1"/>
        <v>95</v>
      </c>
      <c r="I14" s="9" t="str" cm="1">
        <f t="array" ref="I14">_xlfn.IFS(H14&gt;=80,"A",H14&gt;=60,"B",H14&gt;=40,"C",H14&lt;40,"D")</f>
        <v>A</v>
      </c>
      <c r="J14" s="9" t="str">
        <f t="shared" si="2"/>
        <v>Yes</v>
      </c>
      <c r="K14" s="8">
        <f t="shared" si="3"/>
        <v>95</v>
      </c>
      <c r="L14" s="9" t="str">
        <f>VLOOKUP(L13,A1:J21,2,FALSE)</f>
        <v>Student 2</v>
      </c>
    </row>
    <row r="15" spans="1:12" ht="15" thickBot="1" x14ac:dyDescent="0.35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5">
        <v>45441</v>
      </c>
      <c r="G15" s="10">
        <f t="shared" si="0"/>
        <v>177</v>
      </c>
      <c r="H15" s="8">
        <f t="shared" si="1"/>
        <v>59</v>
      </c>
      <c r="I15" s="9" t="str" cm="1">
        <f t="array" ref="I15">_xlfn.IFS(H15&gt;=80,"A",H15&gt;=60,"B",H15&gt;=40,"C",H15&lt;40,"D")</f>
        <v>C</v>
      </c>
      <c r="J15" s="9" t="str">
        <f t="shared" si="2"/>
        <v>No</v>
      </c>
      <c r="K15" s="8">
        <f t="shared" si="3"/>
        <v>59</v>
      </c>
    </row>
    <row r="16" spans="1:12" ht="15" thickBot="1" x14ac:dyDescent="0.35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5">
        <v>45621</v>
      </c>
      <c r="G16" s="10">
        <f t="shared" si="0"/>
        <v>196</v>
      </c>
      <c r="H16" s="8">
        <f t="shared" si="1"/>
        <v>65.333333333333329</v>
      </c>
      <c r="I16" s="9" t="str" cm="1">
        <f t="array" ref="I16">_xlfn.IFS(H16&gt;=80,"A",H16&gt;=60,"B",H16&gt;=40,"C",H16&lt;40,"D")</f>
        <v>B</v>
      </c>
      <c r="J16" s="9" t="str">
        <f t="shared" si="2"/>
        <v>No</v>
      </c>
      <c r="K16" s="8">
        <f t="shared" si="3"/>
        <v>65.333333333333329</v>
      </c>
    </row>
    <row r="17" spans="1:12" ht="15" thickBot="1" x14ac:dyDescent="0.35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5">
        <v>45801</v>
      </c>
      <c r="G17" s="10">
        <f t="shared" si="0"/>
        <v>235</v>
      </c>
      <c r="H17" s="8">
        <f t="shared" si="1"/>
        <v>78.333333333333329</v>
      </c>
      <c r="I17" s="9" t="str" cm="1">
        <f t="array" ref="I17">_xlfn.IFS(H17&gt;=80,"A",H17&gt;=60,"B",H17&gt;=40,"C",H17&lt;40,"D")</f>
        <v>B</v>
      </c>
      <c r="J17" s="9" t="str">
        <f t="shared" si="2"/>
        <v>No</v>
      </c>
      <c r="K17" s="8">
        <f t="shared" si="3"/>
        <v>78.333333333333329</v>
      </c>
      <c r="L17" s="11" t="s">
        <v>102</v>
      </c>
    </row>
    <row r="18" spans="1:12" ht="15" thickBot="1" x14ac:dyDescent="0.35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5">
        <v>45981</v>
      </c>
      <c r="G18" s="10">
        <f t="shared" si="0"/>
        <v>165</v>
      </c>
      <c r="H18" s="8">
        <f t="shared" si="1"/>
        <v>55.000000000000007</v>
      </c>
      <c r="I18" s="9" t="str" cm="1">
        <f t="array" ref="I18">_xlfn.IFS(H18&gt;=80,"A",H18&gt;=60,"B",H18&gt;=40,"C",H18&lt;40,"D")</f>
        <v>C</v>
      </c>
      <c r="J18" s="9" t="str">
        <f t="shared" si="2"/>
        <v>No</v>
      </c>
      <c r="K18" s="8">
        <f t="shared" si="3"/>
        <v>55</v>
      </c>
      <c r="L18" s="9" t="str">
        <f>LEFT(B2,7)</f>
        <v>Student</v>
      </c>
    </row>
    <row r="19" spans="1:12" ht="15" thickBot="1" x14ac:dyDescent="0.35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5" t="s">
        <v>89</v>
      </c>
      <c r="G19" s="10">
        <f t="shared" si="0"/>
        <v>209</v>
      </c>
      <c r="H19" s="8">
        <f t="shared" si="1"/>
        <v>69.666666666666671</v>
      </c>
      <c r="I19" s="9" t="str" cm="1">
        <f t="array" ref="I19">_xlfn.IFS(H19&gt;=80,"A",H19&gt;=60,"B",H19&gt;=40,"C",H19&lt;40,"D")</f>
        <v>B</v>
      </c>
      <c r="J19" s="9" t="str">
        <f t="shared" si="2"/>
        <v>No</v>
      </c>
      <c r="K19" s="8">
        <f t="shared" si="3"/>
        <v>69.666666666666671</v>
      </c>
    </row>
    <row r="20" spans="1:12" ht="15" thickBot="1" x14ac:dyDescent="0.35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5">
        <v>46341</v>
      </c>
      <c r="G20" s="10">
        <f t="shared" si="0"/>
        <v>228</v>
      </c>
      <c r="H20" s="8">
        <f t="shared" si="1"/>
        <v>76</v>
      </c>
      <c r="I20" s="9" t="str" cm="1">
        <f t="array" ref="I20">_xlfn.IFS(H20&gt;=80,"A",H20&gt;=60,"B",H20&gt;=40,"C",H20&lt;40,"D")</f>
        <v>B</v>
      </c>
      <c r="J20" s="9" t="str">
        <f t="shared" si="2"/>
        <v>No</v>
      </c>
      <c r="K20" s="8">
        <f t="shared" si="3"/>
        <v>76</v>
      </c>
    </row>
    <row r="21" spans="1:12" ht="15" thickBot="1" x14ac:dyDescent="0.35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5">
        <v>46521</v>
      </c>
      <c r="G21" s="10">
        <f t="shared" si="0"/>
        <v>230</v>
      </c>
      <c r="H21" s="8">
        <f t="shared" si="1"/>
        <v>76.666666666666671</v>
      </c>
      <c r="I21" s="9" t="str" cm="1">
        <f t="array" ref="I21">_xlfn.IFS(H21&gt;=80,"A",H21&gt;=60,"B",H21&gt;=40,"C",H21&lt;40,"D")</f>
        <v>B</v>
      </c>
      <c r="J21" s="9" t="str">
        <f t="shared" si="2"/>
        <v>Yes</v>
      </c>
      <c r="K21" s="8">
        <f t="shared" si="3"/>
        <v>76.666666666666671</v>
      </c>
      <c r="L21" s="11" t="s">
        <v>103</v>
      </c>
    </row>
    <row r="22" spans="1:12" x14ac:dyDescent="0.3">
      <c r="L22" s="9" t="str">
        <f>UPPER(B2)</f>
        <v>STUDENT 1</v>
      </c>
    </row>
    <row r="23" spans="1:12" x14ac:dyDescent="0.3">
      <c r="L23" s="9" t="str">
        <f>LOWER(B3)</f>
        <v>student 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4D0A-5152-45FE-848D-4837B4C2AB45}">
  <dimension ref="A1:I34"/>
  <sheetViews>
    <sheetView zoomScale="85" zoomScaleNormal="85" workbookViewId="0">
      <selection activeCell="F30" sqref="F30"/>
    </sheetView>
  </sheetViews>
  <sheetFormatPr defaultRowHeight="14.4" x14ac:dyDescent="0.3"/>
  <cols>
    <col min="1" max="1" width="11.21875" style="9" customWidth="1"/>
    <col min="2" max="2" width="11.33203125" style="9" customWidth="1"/>
    <col min="3" max="3" width="10.6640625" style="9" customWidth="1"/>
    <col min="4" max="4" width="11.88671875" style="9" customWidth="1"/>
    <col min="5" max="5" width="10.6640625" style="9" customWidth="1"/>
    <col min="6" max="6" width="18.77734375" style="9" customWidth="1"/>
    <col min="7" max="7" width="8.88671875" style="9"/>
    <col min="8" max="8" width="19.21875" style="9" customWidth="1"/>
    <col min="9" max="9" width="63.109375" style="9" customWidth="1"/>
    <col min="10" max="16384" width="8.88671875" style="9"/>
  </cols>
  <sheetData>
    <row r="1" spans="1:9" ht="29.4" thickBot="1" x14ac:dyDescent="0.35">
      <c r="A1" s="1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7" t="s">
        <v>93</v>
      </c>
      <c r="H1" s="7" t="s">
        <v>104</v>
      </c>
    </row>
    <row r="2" spans="1:9" ht="15" thickBot="1" x14ac:dyDescent="0.35">
      <c r="A2" s="3">
        <v>2001</v>
      </c>
      <c r="B2" s="4" t="s">
        <v>32</v>
      </c>
      <c r="C2" s="4" t="s">
        <v>33</v>
      </c>
      <c r="D2" s="4" t="s">
        <v>34</v>
      </c>
      <c r="E2" s="6">
        <v>7048</v>
      </c>
      <c r="F2" s="5">
        <v>44927</v>
      </c>
      <c r="G2" s="9" cm="1">
        <f t="array" ref="G2">_xlfn.IFS(E2&gt;=40000,20%,E2&gt;=30000,15%,E2&gt;=20000,10%,E2&lt;20000,5%)</f>
        <v>0.05</v>
      </c>
      <c r="H2" s="9" t="str">
        <f t="shared" ref="H2:H3" si="0">IF(OR(E2&gt;30000,B2="Laptop"),"Eligible","Not Eligible")</f>
        <v>Not Eligible</v>
      </c>
    </row>
    <row r="3" spans="1:9" ht="15" thickBot="1" x14ac:dyDescent="0.35">
      <c r="A3" s="3">
        <v>2002</v>
      </c>
      <c r="B3" s="4" t="s">
        <v>35</v>
      </c>
      <c r="C3" s="4" t="s">
        <v>36</v>
      </c>
      <c r="D3" s="4" t="s">
        <v>37</v>
      </c>
      <c r="E3" s="6">
        <v>17428</v>
      </c>
      <c r="F3" s="5">
        <v>44942</v>
      </c>
      <c r="G3" s="9" cm="1">
        <f t="array" ref="G3">_xlfn.IFS(E3&gt;=40000,20%,E3&gt;=30000,15%,E3&gt;=20000,10%,E3&lt;20000,5%)</f>
        <v>0.05</v>
      </c>
      <c r="H3" s="9" t="str">
        <f t="shared" si="0"/>
        <v>Not Eligible</v>
      </c>
    </row>
    <row r="4" spans="1:9" ht="15" thickBot="1" x14ac:dyDescent="0.35">
      <c r="A4" s="3">
        <v>2003</v>
      </c>
      <c r="B4" s="4" t="s">
        <v>38</v>
      </c>
      <c r="C4" s="4" t="s">
        <v>33</v>
      </c>
      <c r="D4" s="4" t="s">
        <v>39</v>
      </c>
      <c r="E4" s="6">
        <v>23672</v>
      </c>
      <c r="F4" s="5">
        <v>44957</v>
      </c>
      <c r="G4" s="9" cm="1">
        <f t="array" ref="G4">_xlfn.IFS(E4&gt;=40000,20%,E4&gt;=30000,15%,E4&gt;=20000,10%,E4&lt;20000,5%)</f>
        <v>0.1</v>
      </c>
      <c r="H4" s="9" t="str">
        <f>IF(OR(E4&gt;30000,B4="Laptop"),"Eligible","Not Eligible")</f>
        <v>Not Eligible</v>
      </c>
    </row>
    <row r="5" spans="1:9" ht="15" thickBot="1" x14ac:dyDescent="0.35">
      <c r="A5" s="3">
        <v>2004</v>
      </c>
      <c r="B5" s="4" t="s">
        <v>35</v>
      </c>
      <c r="C5" s="4" t="s">
        <v>40</v>
      </c>
      <c r="D5" s="4" t="s">
        <v>41</v>
      </c>
      <c r="E5" s="6">
        <v>5264</v>
      </c>
      <c r="F5" s="5">
        <v>44972</v>
      </c>
      <c r="G5" s="9" cm="1">
        <f t="array" ref="G5">_xlfn.IFS(E5&gt;=40000,20%,E5&gt;=30000,15%,E5&gt;=20000,10%,E5&lt;20000,5%)</f>
        <v>0.05</v>
      </c>
      <c r="H5" s="9" t="str">
        <f t="shared" ref="H5:H21" si="1">IF(OR(E5&gt;30000,B5="Laptop"),"Eligible","Not Eligible")</f>
        <v>Not Eligible</v>
      </c>
    </row>
    <row r="6" spans="1:9" ht="15" thickBot="1" x14ac:dyDescent="0.35">
      <c r="A6" s="3">
        <v>2005</v>
      </c>
      <c r="B6" s="4" t="s">
        <v>32</v>
      </c>
      <c r="C6" s="4" t="s">
        <v>42</v>
      </c>
      <c r="D6" s="4" t="s">
        <v>43</v>
      </c>
      <c r="E6" s="6">
        <v>43388</v>
      </c>
      <c r="F6" s="5">
        <v>44987</v>
      </c>
      <c r="G6" s="9" cm="1">
        <f t="array" ref="G6">_xlfn.IFS(E6&gt;=40000,20%,E6&gt;=30000,15%,E6&gt;=20000,10%,E6&lt;20000,5%)</f>
        <v>0.2</v>
      </c>
      <c r="H6" s="9" t="str">
        <f t="shared" si="1"/>
        <v>Eligible</v>
      </c>
    </row>
    <row r="7" spans="1:9" ht="15" thickBot="1" x14ac:dyDescent="0.35">
      <c r="A7" s="3">
        <v>2006</v>
      </c>
      <c r="B7" s="4" t="s">
        <v>38</v>
      </c>
      <c r="C7" s="4" t="s">
        <v>42</v>
      </c>
      <c r="D7" s="4" t="s">
        <v>44</v>
      </c>
      <c r="E7" s="6">
        <v>19757</v>
      </c>
      <c r="F7" s="5">
        <v>45002</v>
      </c>
      <c r="G7" s="9" cm="1">
        <f t="array" ref="G7">_xlfn.IFS(E7&gt;=40000,20%,E7&gt;=30000,15%,E7&gt;=20000,10%,E7&lt;20000,5%)</f>
        <v>0.05</v>
      </c>
      <c r="H7" s="9" t="str">
        <f t="shared" si="1"/>
        <v>Not Eligible</v>
      </c>
      <c r="I7" s="11" t="s">
        <v>97</v>
      </c>
    </row>
    <row r="8" spans="1:9" ht="15" thickBot="1" x14ac:dyDescent="0.35">
      <c r="A8" s="3">
        <v>2007</v>
      </c>
      <c r="B8" s="4" t="s">
        <v>38</v>
      </c>
      <c r="C8" s="4" t="s">
        <v>40</v>
      </c>
      <c r="D8" s="4" t="s">
        <v>45</v>
      </c>
      <c r="E8" s="6">
        <v>32058</v>
      </c>
      <c r="F8" s="5">
        <v>45017</v>
      </c>
      <c r="G8" s="9" cm="1">
        <f t="array" ref="G8">_xlfn.IFS(E8&gt;=40000,20%,E8&gt;=30000,15%,E8&gt;=20000,10%,E8&lt;20000,5%)</f>
        <v>0.15</v>
      </c>
      <c r="H8" s="9" t="str">
        <f t="shared" si="1"/>
        <v>Eligible</v>
      </c>
      <c r="I8" s="9">
        <f>SUMIFS(E:E,C:C,"South",B:B,"Laptop")</f>
        <v>7283</v>
      </c>
    </row>
    <row r="9" spans="1:9" ht="15" thickBot="1" x14ac:dyDescent="0.35">
      <c r="A9" s="3">
        <v>2008</v>
      </c>
      <c r="B9" s="4" t="s">
        <v>32</v>
      </c>
      <c r="C9" s="4" t="s">
        <v>40</v>
      </c>
      <c r="D9" s="4" t="s">
        <v>46</v>
      </c>
      <c r="E9" s="6">
        <v>46429</v>
      </c>
      <c r="F9" s="5">
        <v>45032</v>
      </c>
      <c r="G9" s="9" cm="1">
        <f t="array" ref="G9">_xlfn.IFS(E9&gt;=40000,20%,E9&gt;=30000,15%,E9&gt;=20000,10%,E9&lt;20000,5%)</f>
        <v>0.2</v>
      </c>
      <c r="H9" s="9" t="str">
        <f t="shared" si="1"/>
        <v>Eligible</v>
      </c>
    </row>
    <row r="10" spans="1:9" ht="15" thickBot="1" x14ac:dyDescent="0.35">
      <c r="A10" s="3">
        <v>2009</v>
      </c>
      <c r="B10" s="4" t="s">
        <v>35</v>
      </c>
      <c r="C10" s="4" t="s">
        <v>40</v>
      </c>
      <c r="D10" s="4" t="s">
        <v>47</v>
      </c>
      <c r="E10" s="6">
        <v>19746</v>
      </c>
      <c r="F10" s="5">
        <v>45047</v>
      </c>
      <c r="G10" s="9" cm="1">
        <f t="array" ref="G10">_xlfn.IFS(E10&gt;=40000,20%,E10&gt;=30000,15%,E10&gt;=20000,10%,E10&lt;20000,5%)</f>
        <v>0.05</v>
      </c>
      <c r="H10" s="9" t="str">
        <f t="shared" si="1"/>
        <v>Not Eligible</v>
      </c>
      <c r="I10" s="11" t="s">
        <v>100</v>
      </c>
    </row>
    <row r="11" spans="1:9" ht="15" thickBot="1" x14ac:dyDescent="0.35">
      <c r="A11" s="3">
        <v>2010</v>
      </c>
      <c r="B11" s="4" t="s">
        <v>32</v>
      </c>
      <c r="C11" s="4" t="s">
        <v>33</v>
      </c>
      <c r="D11" s="4" t="s">
        <v>48</v>
      </c>
      <c r="E11" s="6">
        <v>35185</v>
      </c>
      <c r="F11" s="5">
        <v>45062</v>
      </c>
      <c r="G11" s="9" cm="1">
        <f t="array" ref="G11">_xlfn.IFS(E11&gt;=40000,20%,E11&gt;=30000,15%,E11&gt;=20000,10%,E11&lt;20000,5%)</f>
        <v>0.15</v>
      </c>
      <c r="H11" s="9" t="str">
        <f t="shared" si="1"/>
        <v>Eligible</v>
      </c>
      <c r="I11" s="9">
        <v>2005</v>
      </c>
    </row>
    <row r="12" spans="1:9" ht="15" thickBot="1" x14ac:dyDescent="0.35">
      <c r="A12" s="3">
        <v>2011</v>
      </c>
      <c r="B12" s="4" t="s">
        <v>32</v>
      </c>
      <c r="C12" s="4" t="s">
        <v>40</v>
      </c>
      <c r="D12" s="4" t="s">
        <v>49</v>
      </c>
      <c r="E12" s="6">
        <v>33920</v>
      </c>
      <c r="F12" s="5">
        <v>45077</v>
      </c>
      <c r="G12" s="9" cm="1">
        <f t="array" ref="G12">_xlfn.IFS(E12&gt;=40000,20%,E12&gt;=30000,15%,E12&gt;=20000,10%,E12&lt;20000,5%)</f>
        <v>0.15</v>
      </c>
      <c r="H12" s="9" t="str">
        <f t="shared" si="1"/>
        <v>Eligible</v>
      </c>
      <c r="I12" s="12">
        <f>VLOOKUP(I11,A1:F21,5,FALSE)</f>
        <v>43388</v>
      </c>
    </row>
    <row r="13" spans="1:9" ht="15" thickBot="1" x14ac:dyDescent="0.35">
      <c r="A13" s="3">
        <v>2012</v>
      </c>
      <c r="B13" s="4" t="s">
        <v>50</v>
      </c>
      <c r="C13" s="4" t="s">
        <v>42</v>
      </c>
      <c r="D13" s="4" t="s">
        <v>51</v>
      </c>
      <c r="E13" s="6">
        <v>35611</v>
      </c>
      <c r="F13" s="5">
        <v>45092</v>
      </c>
      <c r="G13" s="9" cm="1">
        <f t="array" ref="G13">_xlfn.IFS(E13&gt;=40000,20%,E13&gt;=30000,15%,E13&gt;=20000,10%,E13&lt;20000,5%)</f>
        <v>0.15</v>
      </c>
      <c r="H13" s="9" t="str">
        <f t="shared" si="1"/>
        <v>Eligible</v>
      </c>
    </row>
    <row r="14" spans="1:9" ht="15" thickBot="1" x14ac:dyDescent="0.35">
      <c r="A14" s="3">
        <v>2013</v>
      </c>
      <c r="B14" s="4" t="s">
        <v>52</v>
      </c>
      <c r="C14" s="4" t="s">
        <v>40</v>
      </c>
      <c r="D14" s="4" t="s">
        <v>53</v>
      </c>
      <c r="E14" s="6">
        <v>15560</v>
      </c>
      <c r="F14" s="5">
        <v>45107</v>
      </c>
      <c r="G14" s="9" cm="1">
        <f t="array" ref="G14">_xlfn.IFS(E14&gt;=40000,20%,E14&gt;=30000,15%,E14&gt;=20000,10%,E14&lt;20000,5%)</f>
        <v>0.05</v>
      </c>
      <c r="H14" s="9" t="str">
        <f t="shared" si="1"/>
        <v>Eligible</v>
      </c>
    </row>
    <row r="15" spans="1:9" ht="15" thickBot="1" x14ac:dyDescent="0.35">
      <c r="A15" s="3">
        <v>2014</v>
      </c>
      <c r="B15" s="4" t="s">
        <v>52</v>
      </c>
      <c r="C15" s="4" t="s">
        <v>33</v>
      </c>
      <c r="D15" s="4" t="s">
        <v>54</v>
      </c>
      <c r="E15" s="6">
        <v>7283</v>
      </c>
      <c r="F15" s="5">
        <v>45122</v>
      </c>
      <c r="G15" s="9" cm="1">
        <f t="array" ref="G15">_xlfn.IFS(E15&gt;=40000,20%,E15&gt;=30000,15%,E15&gt;=20000,10%,E15&lt;20000,5%)</f>
        <v>0.05</v>
      </c>
      <c r="H15" s="9" t="str">
        <f t="shared" si="1"/>
        <v>Eligible</v>
      </c>
      <c r="I15" s="11" t="s">
        <v>105</v>
      </c>
    </row>
    <row r="16" spans="1:9" ht="15" thickBot="1" x14ac:dyDescent="0.35">
      <c r="A16" s="3">
        <v>2015</v>
      </c>
      <c r="B16" s="4" t="s">
        <v>52</v>
      </c>
      <c r="C16" s="4" t="s">
        <v>40</v>
      </c>
      <c r="D16" s="4" t="s">
        <v>55</v>
      </c>
      <c r="E16" s="6">
        <v>15678</v>
      </c>
      <c r="F16" s="5">
        <v>45137</v>
      </c>
      <c r="G16" s="9" cm="1">
        <f t="array" ref="G16">_xlfn.IFS(E16&gt;=40000,20%,E16&gt;=30000,15%,E16&gt;=20000,10%,E16&lt;20000,5%)</f>
        <v>0.05</v>
      </c>
      <c r="H16" s="9" t="str">
        <f t="shared" si="1"/>
        <v>Eligible</v>
      </c>
      <c r="I16" s="9" t="s">
        <v>34</v>
      </c>
    </row>
    <row r="17" spans="1:9" ht="15" thickBot="1" x14ac:dyDescent="0.35">
      <c r="A17" s="3">
        <v>2016</v>
      </c>
      <c r="B17" s="4" t="s">
        <v>38</v>
      </c>
      <c r="C17" s="4" t="s">
        <v>40</v>
      </c>
      <c r="D17" s="4" t="s">
        <v>56</v>
      </c>
      <c r="E17" s="6">
        <v>5277</v>
      </c>
      <c r="F17" s="5">
        <v>45152</v>
      </c>
      <c r="G17" s="9" cm="1">
        <f t="array" ref="G17">_xlfn.IFS(E17&gt;=40000,20%,E17&gt;=30000,15%,E17&gt;=20000,10%,E17&lt;20000,5%)</f>
        <v>0.05</v>
      </c>
      <c r="H17" s="9" t="str">
        <f t="shared" si="1"/>
        <v>Not Eligible</v>
      </c>
      <c r="I17" s="9" t="s">
        <v>27</v>
      </c>
    </row>
    <row r="18" spans="1:9" ht="15" thickBot="1" x14ac:dyDescent="0.35">
      <c r="A18" s="3">
        <v>2017</v>
      </c>
      <c r="B18" s="4" t="s">
        <v>50</v>
      </c>
      <c r="C18" s="4" t="s">
        <v>42</v>
      </c>
      <c r="D18" s="4" t="s">
        <v>57</v>
      </c>
      <c r="E18" s="6">
        <v>41871</v>
      </c>
      <c r="F18" s="5">
        <v>45167</v>
      </c>
      <c r="G18" s="9" cm="1">
        <f t="array" ref="G18">_xlfn.IFS(E18&gt;=40000,20%,E18&gt;=30000,15%,E18&gt;=20000,10%,E18&lt;20000,5%)</f>
        <v>0.2</v>
      </c>
      <c r="H18" s="9" t="str">
        <f t="shared" si="1"/>
        <v>Eligible</v>
      </c>
      <c r="I18" s="9" t="str" cm="1">
        <f t="array" ref="I18">_xlfn.XLOOKUP(I16,D2:D21,_xlfn.XLOOKUP(I17,A1:H1,A2:H21))</f>
        <v>Keyboard</v>
      </c>
    </row>
    <row r="19" spans="1:9" ht="15" thickBot="1" x14ac:dyDescent="0.35">
      <c r="A19" s="3">
        <v>2018</v>
      </c>
      <c r="B19" s="4" t="s">
        <v>50</v>
      </c>
      <c r="C19" s="4" t="s">
        <v>36</v>
      </c>
      <c r="D19" s="4" t="s">
        <v>58</v>
      </c>
      <c r="E19" s="6">
        <v>38161</v>
      </c>
      <c r="F19" s="5">
        <v>45182</v>
      </c>
      <c r="G19" s="9" cm="1">
        <f t="array" ref="G19">_xlfn.IFS(E19&gt;=40000,20%,E19&gt;=30000,15%,E19&gt;=20000,10%,E19&lt;20000,5%)</f>
        <v>0.15</v>
      </c>
      <c r="H19" s="9" t="str">
        <f t="shared" si="1"/>
        <v>Eligible</v>
      </c>
    </row>
    <row r="20" spans="1:9" ht="15" thickBot="1" x14ac:dyDescent="0.35">
      <c r="A20" s="3">
        <v>2019</v>
      </c>
      <c r="B20" s="4" t="s">
        <v>38</v>
      </c>
      <c r="C20" s="4" t="s">
        <v>36</v>
      </c>
      <c r="D20" s="4" t="s">
        <v>59</v>
      </c>
      <c r="E20" s="6">
        <v>30436</v>
      </c>
      <c r="F20" s="5">
        <v>45197</v>
      </c>
      <c r="G20" s="9" cm="1">
        <f t="array" ref="G20">_xlfn.IFS(E20&gt;=40000,20%,E20&gt;=30000,15%,E20&gt;=20000,10%,E20&lt;20000,5%)</f>
        <v>0.15</v>
      </c>
      <c r="H20" s="9" t="str">
        <f t="shared" si="1"/>
        <v>Eligible</v>
      </c>
    </row>
    <row r="21" spans="1:9" ht="15" thickBot="1" x14ac:dyDescent="0.35">
      <c r="A21" s="3">
        <v>2020</v>
      </c>
      <c r="B21" s="4" t="s">
        <v>35</v>
      </c>
      <c r="C21" s="4" t="s">
        <v>36</v>
      </c>
      <c r="D21" s="4" t="s">
        <v>60</v>
      </c>
      <c r="E21" s="6">
        <v>33953</v>
      </c>
      <c r="F21" s="5">
        <v>45212</v>
      </c>
      <c r="G21" s="9" cm="1">
        <f t="array" ref="G21">_xlfn.IFS(E21&gt;=40000,20%,E21&gt;=30000,15%,E21&gt;=20000,10%,E21&lt;20000,5%)</f>
        <v>0.15</v>
      </c>
      <c r="H21" s="9" t="str">
        <f t="shared" si="1"/>
        <v>Eligible</v>
      </c>
      <c r="I21" s="11" t="s">
        <v>106</v>
      </c>
    </row>
    <row r="22" spans="1:9" x14ac:dyDescent="0.3">
      <c r="I22" s="9">
        <v>2001</v>
      </c>
    </row>
    <row r="23" spans="1:9" x14ac:dyDescent="0.3">
      <c r="I23" s="9" t="str">
        <f>_xlfn.XLOOKUP(I22,A2:A21,D2:D21)</f>
        <v>Person 1</v>
      </c>
    </row>
    <row r="24" spans="1:9" x14ac:dyDescent="0.3">
      <c r="F24" s="11" t="s">
        <v>110</v>
      </c>
    </row>
    <row r="25" spans="1:9" x14ac:dyDescent="0.3">
      <c r="F25" s="13">
        <f>ROUND(12345.678,2)</f>
        <v>12345.68</v>
      </c>
      <c r="I25" s="11" t="s">
        <v>107</v>
      </c>
    </row>
    <row r="26" spans="1:9" x14ac:dyDescent="0.3">
      <c r="I26" s="9" t="s">
        <v>38</v>
      </c>
    </row>
    <row r="27" spans="1:9" x14ac:dyDescent="0.3">
      <c r="F27" s="11" t="s">
        <v>111</v>
      </c>
      <c r="I27" s="9">
        <f>_xlfn.XMATCH(I26,B2:B21,0)</f>
        <v>3</v>
      </c>
    </row>
    <row r="28" spans="1:9" x14ac:dyDescent="0.3">
      <c r="F28" s="9">
        <f>CEILING(12345.25,10)</f>
        <v>12350</v>
      </c>
    </row>
    <row r="29" spans="1:9" x14ac:dyDescent="0.3">
      <c r="I29" s="11" t="s">
        <v>108</v>
      </c>
    </row>
    <row r="30" spans="1:9" x14ac:dyDescent="0.3">
      <c r="F30" s="11" t="s">
        <v>112</v>
      </c>
      <c r="I30" s="9">
        <f ca="1">DATEDIF(F2,TODAY(),"Y")</f>
        <v>3</v>
      </c>
    </row>
    <row r="31" spans="1:9" x14ac:dyDescent="0.3">
      <c r="F31" s="9">
        <f>FLOOR(12345.89,10)</f>
        <v>12340</v>
      </c>
    </row>
    <row r="33" spans="9:9" x14ac:dyDescent="0.3">
      <c r="I33" s="11" t="s">
        <v>109</v>
      </c>
    </row>
    <row r="34" spans="9:9" x14ac:dyDescent="0.3">
      <c r="I34" s="9">
        <f>DATEDIF(F2,F3,"D")</f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03B2-1FDB-4665-B8E9-B1AA089206B8}">
  <dimension ref="A1:G21"/>
  <sheetViews>
    <sheetView zoomScale="88" zoomScaleNormal="130" workbookViewId="0">
      <selection activeCell="G11" sqref="G11"/>
    </sheetView>
  </sheetViews>
  <sheetFormatPr defaultRowHeight="14.4" x14ac:dyDescent="0.3"/>
  <cols>
    <col min="1" max="1" width="12.109375" style="9" customWidth="1"/>
    <col min="2" max="2" width="16.109375" style="9" customWidth="1"/>
    <col min="3" max="3" width="15.109375" style="9" customWidth="1"/>
    <col min="4" max="4" width="13" style="9" bestFit="1" customWidth="1"/>
    <col min="5" max="5" width="20.21875" style="9" customWidth="1"/>
    <col min="6" max="6" width="8.88671875" style="9"/>
    <col min="7" max="7" width="61.5546875" style="9" customWidth="1"/>
    <col min="8" max="16384" width="8.88671875" style="9"/>
  </cols>
  <sheetData>
    <row r="1" spans="1:7" ht="15" thickBot="1" x14ac:dyDescent="0.35">
      <c r="A1" s="1" t="s">
        <v>61</v>
      </c>
      <c r="B1" s="2" t="s">
        <v>1</v>
      </c>
      <c r="C1" s="2" t="s">
        <v>62</v>
      </c>
      <c r="D1" s="2" t="s">
        <v>63</v>
      </c>
      <c r="E1" s="2" t="s">
        <v>64</v>
      </c>
    </row>
    <row r="2" spans="1:7" ht="15" thickBot="1" x14ac:dyDescent="0.35">
      <c r="A2" s="3">
        <v>3001</v>
      </c>
      <c r="B2" s="4" t="s">
        <v>65</v>
      </c>
      <c r="C2" s="4" t="s">
        <v>66</v>
      </c>
      <c r="D2" s="6">
        <v>86766</v>
      </c>
      <c r="E2" s="5">
        <v>42005</v>
      </c>
      <c r="G2" s="11" t="s">
        <v>101</v>
      </c>
    </row>
    <row r="3" spans="1:7" ht="15" thickBot="1" x14ac:dyDescent="0.35">
      <c r="A3" s="3">
        <v>3002</v>
      </c>
      <c r="B3" s="4" t="s">
        <v>67</v>
      </c>
      <c r="C3" s="4" t="s">
        <v>66</v>
      </c>
      <c r="D3" s="6">
        <v>31943</v>
      </c>
      <c r="E3" s="5">
        <v>42255</v>
      </c>
      <c r="G3" s="9" t="s">
        <v>63</v>
      </c>
    </row>
    <row r="4" spans="1:7" ht="15" thickBot="1" x14ac:dyDescent="0.35">
      <c r="A4" s="3">
        <v>3003</v>
      </c>
      <c r="B4" s="4" t="s">
        <v>68</v>
      </c>
      <c r="C4" s="4" t="s">
        <v>69</v>
      </c>
      <c r="D4" s="6">
        <v>63374</v>
      </c>
      <c r="E4" s="5">
        <v>42505</v>
      </c>
      <c r="G4" s="9">
        <v>3002</v>
      </c>
    </row>
    <row r="5" spans="1:7" ht="15" thickBot="1" x14ac:dyDescent="0.35">
      <c r="A5" s="3">
        <v>3004</v>
      </c>
      <c r="B5" s="4" t="s">
        <v>70</v>
      </c>
      <c r="C5" s="4" t="s">
        <v>66</v>
      </c>
      <c r="D5" s="6">
        <v>109972</v>
      </c>
      <c r="E5" s="5">
        <v>42755</v>
      </c>
      <c r="G5" s="12" cm="1">
        <f t="array" ref="G5">_xlfn.XLOOKUP(G3,$A$1:$E$1,_xlfn.XLOOKUP(G4,$A$2:$A$21,$A$2:$E$21))</f>
        <v>31943</v>
      </c>
    </row>
    <row r="6" spans="1:7" ht="15" thickBot="1" x14ac:dyDescent="0.35">
      <c r="A6" s="3">
        <v>3005</v>
      </c>
      <c r="B6" s="4" t="s">
        <v>71</v>
      </c>
      <c r="C6" s="4" t="s">
        <v>72</v>
      </c>
      <c r="D6" s="6">
        <v>54149</v>
      </c>
      <c r="E6" s="5">
        <v>43005</v>
      </c>
    </row>
    <row r="7" spans="1:7" ht="15" thickBot="1" x14ac:dyDescent="0.35">
      <c r="A7" s="3">
        <v>3006</v>
      </c>
      <c r="B7" s="4" t="s">
        <v>73</v>
      </c>
      <c r="C7" s="4" t="s">
        <v>72</v>
      </c>
      <c r="D7" s="6">
        <v>78689</v>
      </c>
      <c r="E7" s="5">
        <v>43255</v>
      </c>
      <c r="G7" s="11" t="s">
        <v>106</v>
      </c>
    </row>
    <row r="8" spans="1:7" ht="15" thickBot="1" x14ac:dyDescent="0.35">
      <c r="A8" s="3">
        <v>3007</v>
      </c>
      <c r="B8" s="4" t="s">
        <v>74</v>
      </c>
      <c r="C8" s="4" t="s">
        <v>75</v>
      </c>
      <c r="D8" s="6">
        <v>35960</v>
      </c>
      <c r="E8" s="5">
        <v>43505</v>
      </c>
      <c r="G8" s="9">
        <v>3001</v>
      </c>
    </row>
    <row r="9" spans="1:7" ht="15" thickBot="1" x14ac:dyDescent="0.35">
      <c r="A9" s="3">
        <v>3008</v>
      </c>
      <c r="B9" s="4" t="s">
        <v>76</v>
      </c>
      <c r="C9" s="4" t="s">
        <v>72</v>
      </c>
      <c r="D9" s="6">
        <v>91659</v>
      </c>
      <c r="E9" s="5">
        <v>43755</v>
      </c>
      <c r="G9" s="12">
        <f>_xlfn.XLOOKUP(G8,A2:A21,D2:D21)</f>
        <v>86766</v>
      </c>
    </row>
    <row r="10" spans="1:7" ht="15" thickBot="1" x14ac:dyDescent="0.35">
      <c r="A10" s="3">
        <v>3009</v>
      </c>
      <c r="B10" s="4" t="s">
        <v>77</v>
      </c>
      <c r="C10" s="4" t="s">
        <v>72</v>
      </c>
      <c r="D10" s="6">
        <v>90423</v>
      </c>
      <c r="E10" s="5">
        <v>44005</v>
      </c>
    </row>
    <row r="11" spans="1:7" ht="15" thickBot="1" x14ac:dyDescent="0.35">
      <c r="A11" s="3">
        <v>3010</v>
      </c>
      <c r="B11" s="4" t="s">
        <v>78</v>
      </c>
      <c r="C11" s="4" t="s">
        <v>69</v>
      </c>
      <c r="D11" s="6">
        <v>107877</v>
      </c>
      <c r="E11" s="5">
        <v>44255</v>
      </c>
    </row>
    <row r="12" spans="1:7" ht="15" thickBot="1" x14ac:dyDescent="0.35">
      <c r="A12" s="3">
        <v>3011</v>
      </c>
      <c r="B12" s="4" t="s">
        <v>79</v>
      </c>
      <c r="C12" s="4" t="s">
        <v>66</v>
      </c>
      <c r="D12" s="6">
        <v>107634</v>
      </c>
      <c r="E12" s="5">
        <v>44505</v>
      </c>
    </row>
    <row r="13" spans="1:7" ht="15" thickBot="1" x14ac:dyDescent="0.35">
      <c r="A13" s="3">
        <v>3012</v>
      </c>
      <c r="B13" s="4" t="s">
        <v>80</v>
      </c>
      <c r="C13" s="4" t="s">
        <v>66</v>
      </c>
      <c r="D13" s="6">
        <v>35226</v>
      </c>
      <c r="E13" s="5">
        <v>44755</v>
      </c>
    </row>
    <row r="14" spans="1:7" ht="15" thickBot="1" x14ac:dyDescent="0.35">
      <c r="A14" s="3">
        <v>3013</v>
      </c>
      <c r="B14" s="4" t="s">
        <v>81</v>
      </c>
      <c r="C14" s="4" t="s">
        <v>69</v>
      </c>
      <c r="D14" s="6">
        <v>40872</v>
      </c>
      <c r="E14" s="5">
        <v>45005</v>
      </c>
    </row>
    <row r="15" spans="1:7" ht="15" thickBot="1" x14ac:dyDescent="0.35">
      <c r="A15" s="3">
        <v>3014</v>
      </c>
      <c r="B15" s="4" t="s">
        <v>82</v>
      </c>
      <c r="C15" s="4" t="s">
        <v>69</v>
      </c>
      <c r="D15" s="6">
        <v>55378</v>
      </c>
      <c r="E15" s="5">
        <v>45255</v>
      </c>
    </row>
    <row r="16" spans="1:7" ht="15" thickBot="1" x14ac:dyDescent="0.35">
      <c r="A16" s="3">
        <v>3015</v>
      </c>
      <c r="B16" s="4" t="s">
        <v>83</v>
      </c>
      <c r="C16" s="4" t="s">
        <v>69</v>
      </c>
      <c r="D16" s="6">
        <v>63297</v>
      </c>
      <c r="E16" s="5">
        <v>45505</v>
      </c>
    </row>
    <row r="17" spans="1:5" ht="15" thickBot="1" x14ac:dyDescent="0.35">
      <c r="A17" s="3">
        <v>3016</v>
      </c>
      <c r="B17" s="4" t="s">
        <v>84</v>
      </c>
      <c r="C17" s="4" t="s">
        <v>66</v>
      </c>
      <c r="D17" s="6">
        <v>114173</v>
      </c>
      <c r="E17" s="5">
        <v>45755</v>
      </c>
    </row>
    <row r="18" spans="1:5" ht="15" thickBot="1" x14ac:dyDescent="0.35">
      <c r="A18" s="3">
        <v>3017</v>
      </c>
      <c r="B18" s="4" t="s">
        <v>85</v>
      </c>
      <c r="C18" s="4" t="s">
        <v>69</v>
      </c>
      <c r="D18" s="6">
        <v>86915</v>
      </c>
      <c r="E18" s="5">
        <v>46005</v>
      </c>
    </row>
    <row r="19" spans="1:5" ht="15" thickBot="1" x14ac:dyDescent="0.35">
      <c r="A19" s="3">
        <v>3018</v>
      </c>
      <c r="B19" s="4" t="s">
        <v>86</v>
      </c>
      <c r="C19" s="4" t="s">
        <v>72</v>
      </c>
      <c r="D19" s="6">
        <v>116284</v>
      </c>
      <c r="E19" s="5">
        <v>46255</v>
      </c>
    </row>
    <row r="20" spans="1:5" ht="15" thickBot="1" x14ac:dyDescent="0.35">
      <c r="A20" s="3">
        <v>3019</v>
      </c>
      <c r="B20" s="4" t="s">
        <v>87</v>
      </c>
      <c r="C20" s="4" t="s">
        <v>75</v>
      </c>
      <c r="D20" s="6">
        <v>116283</v>
      </c>
      <c r="E20" s="5">
        <v>46505</v>
      </c>
    </row>
    <row r="21" spans="1:5" ht="15" thickBot="1" x14ac:dyDescent="0.35">
      <c r="A21" s="3">
        <v>3020</v>
      </c>
      <c r="B21" s="4" t="s">
        <v>88</v>
      </c>
      <c r="C21" s="4" t="s">
        <v>75</v>
      </c>
      <c r="D21" s="6">
        <v>99924</v>
      </c>
      <c r="E21" s="5">
        <v>46755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Ishu Sharda</dc:creator>
  <cp:lastModifiedBy>Ishu Sharda</cp:lastModifiedBy>
  <dcterms:created xsi:type="dcterms:W3CDTF">2026-05-06T04:18:09Z</dcterms:created>
  <dcterms:modified xsi:type="dcterms:W3CDTF">2026-05-06T06:35:27Z</dcterms:modified>
</cp:coreProperties>
</file>